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A:\Projetos\unity-inventory-system\"/>
    </mc:Choice>
  </mc:AlternateContent>
  <xr:revisionPtr revIDLastSave="0" documentId="13_ncr:1_{2687BBE9-C841-4161-8C28-76A5D65764BA}" xr6:coauthVersionLast="47" xr6:coauthVersionMax="47" xr10:uidLastSave="{00000000-0000-0000-0000-000000000000}"/>
  <bookViews>
    <workbookView xWindow="-108" yWindow="-108" windowWidth="30936" windowHeight="16776" xr2:uid="{9963DE7F-35C2-49D6-AEB6-55B6A9EFBD37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8" i="1" l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7" i="1"/>
  <c r="M8" i="1"/>
  <c r="M9" i="1"/>
  <c r="M10" i="1"/>
  <c r="M11" i="1"/>
  <c r="M12" i="1"/>
  <c r="M13" i="1"/>
  <c r="M14" i="1"/>
  <c r="M15" i="1"/>
  <c r="M16" i="1"/>
  <c r="M17" i="1"/>
  <c r="M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6" i="1"/>
</calcChain>
</file>

<file path=xl/sharedStrings.xml><?xml version="1.0" encoding="utf-8"?>
<sst xmlns="http://schemas.openxmlformats.org/spreadsheetml/2006/main" count="97" uniqueCount="58">
  <si>
    <r>
      <t xml:space="preserve">new </t>
    </r>
    <r>
      <rPr>
        <sz val="10"/>
        <color rgb="FF787878"/>
        <rFont val="JetBrains Mono"/>
        <family val="3"/>
      </rPr>
      <t>ItemCreationData</t>
    </r>
    <r>
      <rPr>
        <sz val="10"/>
        <color rgb="FFBDBDBD"/>
        <rFont val="JetBrains Mono"/>
        <family val="3"/>
      </rPr>
      <t>(</t>
    </r>
  </si>
  <si>
    <r>
      <t xml:space="preserve">    </t>
    </r>
    <r>
      <rPr>
        <sz val="10"/>
        <color rgb="FFC9A26D"/>
        <rFont val="JetBrains Mono"/>
        <family val="3"/>
      </rPr>
      <t>"Thatch"</t>
    </r>
    <r>
      <rPr>
        <sz val="10"/>
        <color rgb="FFBDBDBD"/>
        <rFont val="JetBrains Mono"/>
        <family val="3"/>
      </rPr>
      <t>,</t>
    </r>
  </si>
  <si>
    <r>
      <t xml:space="preserve">    </t>
    </r>
    <r>
      <rPr>
        <sz val="10"/>
        <color rgb="FFC9A26D"/>
        <rFont val="JetBrains Mono"/>
        <family val="3"/>
      </rPr>
      <t>"Basic thatch resource used for crafting."</t>
    </r>
    <r>
      <rPr>
        <sz val="10"/>
        <color rgb="FFBDBDBD"/>
        <rFont val="JetBrains Mono"/>
        <family val="3"/>
      </rPr>
      <t>,</t>
    </r>
  </si>
  <si>
    <r>
      <t xml:space="preserve">    </t>
    </r>
    <r>
      <rPr>
        <sz val="10"/>
        <color rgb="FFE1BFFF"/>
        <rFont val="JetBrains Mono"/>
        <family val="3"/>
      </rPr>
      <t>ItemType</t>
    </r>
    <r>
      <rPr>
        <sz val="10"/>
        <color rgb="FFBDBDBD"/>
        <rFont val="JetBrains Mono"/>
        <family val="3"/>
      </rPr>
      <t>.</t>
    </r>
    <r>
      <rPr>
        <b/>
        <sz val="10"/>
        <color rgb="FF66C3CC"/>
        <rFont val="JetBrains Mono"/>
        <family val="3"/>
      </rPr>
      <t>Resource</t>
    </r>
    <r>
      <rPr>
        <sz val="10"/>
        <color rgb="FFBDBDBD"/>
        <rFont val="JetBrains Mono"/>
        <family val="3"/>
      </rPr>
      <t>,</t>
    </r>
  </si>
  <si>
    <r>
      <t xml:space="preserve">    </t>
    </r>
    <r>
      <rPr>
        <sz val="10"/>
        <color rgb="FFED94C0"/>
        <rFont val="JetBrains Mono"/>
        <family val="3"/>
      </rPr>
      <t>1f</t>
    </r>
    <r>
      <rPr>
        <sz val="10"/>
        <color rgb="FFBDBDBD"/>
        <rFont val="JetBrains Mono"/>
        <family val="3"/>
      </rPr>
      <t>,</t>
    </r>
  </si>
  <si>
    <r>
      <t xml:space="preserve">    -</t>
    </r>
    <r>
      <rPr>
        <sz val="10"/>
        <color rgb="FFED94C0"/>
        <rFont val="JetBrains Mono"/>
        <family val="3"/>
      </rPr>
      <t>1f</t>
    </r>
    <r>
      <rPr>
        <sz val="10"/>
        <color rgb="FFBDBDBD"/>
        <rFont val="JetBrains Mono"/>
        <family val="3"/>
      </rPr>
      <t>,</t>
    </r>
  </si>
  <si>
    <r>
      <t xml:space="preserve">    -</t>
    </r>
    <r>
      <rPr>
        <sz val="10"/>
        <color rgb="FFED94C0"/>
        <rFont val="JetBrains Mono"/>
        <family val="3"/>
      </rPr>
      <t>1f</t>
    </r>
  </si>
  <si>
    <r>
      <t>)</t>
    </r>
    <r>
      <rPr>
        <sz val="10"/>
        <color rgb="FF787878"/>
        <rFont val="JetBrains Mono"/>
        <family val="3"/>
      </rPr>
      <t>,</t>
    </r>
  </si>
  <si>
    <t>ID</t>
  </si>
  <si>
    <t>Name</t>
  </si>
  <si>
    <t>Desc</t>
  </si>
  <si>
    <t>Type</t>
  </si>
  <si>
    <t>MaxStack</t>
  </si>
  <si>
    <t>Weight</t>
  </si>
  <si>
    <t>SpoilDuration</t>
  </si>
  <si>
    <t>Durability</t>
  </si>
  <si>
    <t>SCRIPT</t>
  </si>
  <si>
    <t>Wood</t>
  </si>
  <si>
    <t>Stone</t>
  </si>
  <si>
    <t>Thatch</t>
  </si>
  <si>
    <t>Fiber</t>
  </si>
  <si>
    <t>Raw Meat</t>
  </si>
  <si>
    <t>Cooked Meat</t>
  </si>
  <si>
    <t>Spoiled Meat</t>
  </si>
  <si>
    <t>Flint</t>
  </si>
  <si>
    <t>Crystal</t>
  </si>
  <si>
    <t>Obsidian</t>
  </si>
  <si>
    <t>Metal</t>
  </si>
  <si>
    <t>Metal Ingot</t>
  </si>
  <si>
    <t>Cementing Paste</t>
  </si>
  <si>
    <t>Chitin</t>
  </si>
  <si>
    <t>Keratin</t>
  </si>
  <si>
    <t>Stone Pickaxe</t>
  </si>
  <si>
    <t>Stone Hatchet</t>
  </si>
  <si>
    <t>Campfire</t>
  </si>
  <si>
    <t>Small Box</t>
  </si>
  <si>
    <t>Wooden Storage</t>
  </si>
  <si>
    <t>Hide</t>
  </si>
  <si>
    <t>Bow</t>
  </si>
  <si>
    <t>Arrow</t>
  </si>
  <si>
    <t>Berries</t>
  </si>
  <si>
    <t>Hide Leggins</t>
  </si>
  <si>
    <t>Hide Chestpiece</t>
  </si>
  <si>
    <t>Hide Gloves</t>
  </si>
  <si>
    <t>Hide Boots</t>
  </si>
  <si>
    <t>Health Potion</t>
  </si>
  <si>
    <t>Resource</t>
  </si>
  <si>
    <t>Item Types</t>
  </si>
  <si>
    <t>Special</t>
  </si>
  <si>
    <t>Consumable</t>
  </si>
  <si>
    <t>Tool</t>
  </si>
  <si>
    <t>Weapon</t>
  </si>
  <si>
    <t>Equipment</t>
  </si>
  <si>
    <t>Ammo</t>
  </si>
  <si>
    <t>Skin</t>
  </si>
  <si>
    <t>Structure</t>
  </si>
  <si>
    <t>0.1f</t>
  </si>
  <si>
    <t>0.01f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</si>
</sst>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6C95EB"/>
      <name val="JetBrains Mono"/>
      <family val="3"/>
    </font>
    <font>
      <sz val="10"/>
      <color rgb="FF787878"/>
      <name val="JetBrains Mono"/>
      <family val="3"/>
    </font>
    <font>
      <sz val="10"/>
      <color rgb="FFBDBDBD"/>
      <name val="JetBrains Mono"/>
      <family val="3"/>
    </font>
    <font>
      <sz val="10"/>
      <color rgb="FFED94C0"/>
      <name val="JetBrains Mono"/>
      <family val="3"/>
    </font>
    <font>
      <sz val="10"/>
      <color rgb="FFC9A26D"/>
      <name val="JetBrains Mono"/>
      <family val="3"/>
    </font>
    <font>
      <sz val="10"/>
      <color rgb="FFE1BFFF"/>
      <name val="JetBrains Mono"/>
      <family val="3"/>
    </font>
    <font>
      <b/>
      <sz val="10"/>
      <color rgb="FF66C3CC"/>
      <name val="JetBrains Mono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E2C0125-2625-448B-94B8-8D9F55612170}" name="Table1" displayName="Table1" ref="E5:M34" totalsRowShown="0" headerRowDxfId="0">
  <autoFilter ref="E5:M34" xr:uid="{BE2C0125-2625-448B-94B8-8D9F55612170}"/>
  <tableColumns count="9">
    <tableColumn id="1" xr3:uid="{EFA0297A-87C8-418B-A20E-49ABEB1E500D}" name="ID"/>
    <tableColumn id="2" xr3:uid="{30CB568F-131A-4AF3-A872-54208B0CC309}" name="Name"/>
    <tableColumn id="3" xr3:uid="{1F92DC64-EFF2-434F-A7B1-B547EEFAAE93}" name="Desc">
      <calculatedColumnFormula>_xlfn.CONCAT("Wooow so great, ",F6)</calculatedColumnFormula>
    </tableColumn>
    <tableColumn id="4" xr3:uid="{62A578C6-5697-4BAD-A89A-B6BB326F4CB1}" name="Type"/>
    <tableColumn id="5" xr3:uid="{4A3BADE1-2BD8-4307-9090-D065F7860D5C}" name="MaxStack"/>
    <tableColumn id="6" xr3:uid="{5A17CF03-120A-418F-B557-EFDE33A49CC3}" name="Weight"/>
    <tableColumn id="7" xr3:uid="{2534C0E1-132C-49BF-AC84-D90C941CB980}" name="SpoilDuration"/>
    <tableColumn id="8" xr3:uid="{FDABA69D-303B-40C3-8125-974E7E8760B2}" name="Durability"/>
    <tableColumn id="9" xr3:uid="{E634B134-294E-463F-B8D4-D79CE4BB90A2}" name="SCRIPT">
      <calculatedColumnFormula>"new ItemCreationData("&amp;E6&amp;","""&amp;F6&amp;""","""&amp;G6&amp;""",ItemType."&amp;H6&amp;","&amp;I6&amp;","&amp;J6&amp;","&amp;K6&amp;","&amp;L6&amp;"),"</calculatedColumnFormula>
    </tableColumn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03605-76B7-4495-81C4-E8136AE2997C}">
  <dimension ref="E5:S34"/>
  <sheetViews>
    <sheetView tabSelected="1" topLeftCell="D1" workbookViewId="0">
      <selection activeCell="G36" sqref="G36"/>
    </sheetView>
  </sheetViews>
  <sheetFormatPr defaultRowHeight="14.4"/>
  <cols>
    <col min="5" max="5" width="7.21875" bestFit="1" customWidth="1"/>
    <col min="6" max="6" width="16.21875" customWidth="1"/>
    <col min="7" max="7" width="36.77734375" customWidth="1"/>
    <col min="8" max="8" width="12.21875" customWidth="1"/>
    <col min="9" max="9" width="13.6640625" bestFit="1" customWidth="1"/>
    <col min="10" max="10" width="11.44140625" bestFit="1" customWidth="1"/>
    <col min="11" max="11" width="16.88671875" bestFit="1" customWidth="1"/>
    <col min="12" max="12" width="13.5546875" bestFit="1" customWidth="1"/>
    <col min="13" max="13" width="95.33203125" customWidth="1"/>
    <col min="19" max="19" width="26.5546875" customWidth="1"/>
  </cols>
  <sheetData>
    <row r="5" spans="5:19">
      <c r="E5" s="3" t="s">
        <v>8</v>
      </c>
      <c r="F5" s="3" t="s">
        <v>9</v>
      </c>
      <c r="G5" s="3" t="s">
        <v>10</v>
      </c>
      <c r="H5" s="3" t="s">
        <v>11</v>
      </c>
      <c r="I5" s="3" t="s">
        <v>12</v>
      </c>
      <c r="J5" s="3" t="s">
        <v>13</v>
      </c>
      <c r="K5" s="3" t="s">
        <v>14</v>
      </c>
      <c r="L5" s="3" t="s">
        <v>15</v>
      </c>
      <c r="M5" s="3" t="s">
        <v>16</v>
      </c>
    </row>
    <row r="6" spans="5:19">
      <c r="E6">
        <v>0</v>
      </c>
      <c r="F6" t="s">
        <v>17</v>
      </c>
      <c r="G6" t="str">
        <f>_xlfn.CONCAT("Wooow so great, ",F6)</f>
        <v>Wooow so great, Wood</v>
      </c>
      <c r="H6" t="s">
        <v>46</v>
      </c>
      <c r="I6">
        <v>100</v>
      </c>
      <c r="J6">
        <v>1</v>
      </c>
      <c r="K6">
        <v>-1</v>
      </c>
      <c r="L6">
        <v>-1</v>
      </c>
      <c r="M6" t="str">
        <f>"new ItemCreationData("&amp;E6&amp;","""&amp;F6&amp;""","""&amp;G6&amp;""",ItemType."&amp;H6&amp;","&amp;I6&amp;","&amp;J6&amp;","&amp;K6&amp;","&amp;L6&amp;"),"</f>
        <v>new ItemCreationData(0,"Wood","Wooow so great, Wood",ItemType.Resource,100,1,-1,-1),</v>
      </c>
      <c r="S6" s="1" t="s">
        <v>0</v>
      </c>
    </row>
    <row r="7" spans="5:19">
      <c r="E7">
        <v>1</v>
      </c>
      <c r="F7" t="s">
        <v>18</v>
      </c>
      <c r="G7" t="str">
        <f t="shared" ref="G7:G34" si="0">_xlfn.CONCAT("Wooow so great, ",F7)</f>
        <v>Wooow so great, Stone</v>
      </c>
      <c r="H7" t="s">
        <v>46</v>
      </c>
      <c r="I7">
        <v>100</v>
      </c>
      <c r="J7">
        <v>1</v>
      </c>
      <c r="K7">
        <v>-1</v>
      </c>
      <c r="L7">
        <v>-1</v>
      </c>
      <c r="M7" t="str">
        <f t="shared" ref="M7:M34" si="1">"new ItemCreationData("&amp;E7&amp;","""&amp;F7&amp;""","""&amp;G7&amp;""",ItemType."&amp;H7&amp;","&amp;I7&amp;","&amp;J7&amp;","&amp;K7&amp;","&amp;L7&amp;"),"</f>
        <v>new ItemCreationData(1,"Stone","Wooow so great, Stone",ItemType.Resource,100,1,-1,-1),</v>
      </c>
      <c r="S7" s="2">
        <v>0</v>
      </c>
    </row>
    <row r="8" spans="5:19">
      <c r="E8">
        <v>2</v>
      </c>
      <c r="F8" t="s">
        <v>19</v>
      </c>
      <c r="G8" t="str">
        <f t="shared" si="0"/>
        <v>Wooow so great, Thatch</v>
      </c>
      <c r="H8" t="s">
        <v>46</v>
      </c>
      <c r="I8">
        <v>100</v>
      </c>
      <c r="J8" t="s">
        <v>56</v>
      </c>
      <c r="K8">
        <v>-1</v>
      </c>
      <c r="L8">
        <v>-1</v>
      </c>
      <c r="M8" t="str">
        <f t="shared" si="1"/>
        <v>new ItemCreationData(2,"Thatch","Wooow so great, Thatch",ItemType.Resource,100,0.1f,-1,-1),</v>
      </c>
      <c r="S8" s="2" t="s">
        <v>1</v>
      </c>
    </row>
    <row r="9" spans="5:19">
      <c r="E9">
        <v>3</v>
      </c>
      <c r="F9" t="s">
        <v>20</v>
      </c>
      <c r="G9" t="str">
        <f t="shared" si="0"/>
        <v>Wooow so great, Fiber</v>
      </c>
      <c r="H9" t="s">
        <v>46</v>
      </c>
      <c r="I9">
        <v>100</v>
      </c>
      <c r="J9" t="s">
        <v>57</v>
      </c>
      <c r="K9">
        <v>-1</v>
      </c>
      <c r="L9">
        <v>-1</v>
      </c>
      <c r="M9" t="str">
        <f t="shared" si="1"/>
        <v>new ItemCreationData(3,"Fiber","Wooow so great, Fiber",ItemType.Resource,100,0.01f,-1,-1),</v>
      </c>
      <c r="S9" s="2" t="s">
        <v>2</v>
      </c>
    </row>
    <row r="10" spans="5:19">
      <c r="E10">
        <v>4</v>
      </c>
      <c r="F10" t="s">
        <v>24</v>
      </c>
      <c r="G10" t="str">
        <f t="shared" si="0"/>
        <v>Wooow so great, Flint</v>
      </c>
      <c r="H10" t="s">
        <v>46</v>
      </c>
      <c r="I10">
        <v>100</v>
      </c>
      <c r="J10">
        <v>1</v>
      </c>
      <c r="K10">
        <v>-1</v>
      </c>
      <c r="L10">
        <v>-1</v>
      </c>
      <c r="M10" t="str">
        <f t="shared" si="1"/>
        <v>new ItemCreationData(4,"Flint","Wooow so great, Flint",ItemType.Resource,100,1,-1,-1),</v>
      </c>
      <c r="S10" s="2" t="s">
        <v>3</v>
      </c>
    </row>
    <row r="11" spans="5:19">
      <c r="E11">
        <v>5</v>
      </c>
      <c r="F11" t="s">
        <v>25</v>
      </c>
      <c r="G11" t="str">
        <f t="shared" si="0"/>
        <v>Wooow so great, Crystal</v>
      </c>
      <c r="H11" t="s">
        <v>46</v>
      </c>
      <c r="I11">
        <v>100</v>
      </c>
      <c r="J11">
        <v>2</v>
      </c>
      <c r="K11">
        <v>-1</v>
      </c>
      <c r="L11">
        <v>-1</v>
      </c>
      <c r="M11" t="str">
        <f t="shared" si="1"/>
        <v>new ItemCreationData(5,"Crystal","Wooow so great, Crystal",ItemType.Resource,100,2,-1,-1),</v>
      </c>
      <c r="S11" s="2">
        <v>100</v>
      </c>
    </row>
    <row r="12" spans="5:19">
      <c r="E12">
        <v>6</v>
      </c>
      <c r="F12" t="s">
        <v>26</v>
      </c>
      <c r="G12" t="str">
        <f t="shared" si="0"/>
        <v>Wooow so great, Obsidian</v>
      </c>
      <c r="H12" t="s">
        <v>46</v>
      </c>
      <c r="I12">
        <v>100</v>
      </c>
      <c r="J12">
        <v>2</v>
      </c>
      <c r="K12">
        <v>-1</v>
      </c>
      <c r="L12">
        <v>-1</v>
      </c>
      <c r="M12" t="str">
        <f t="shared" si="1"/>
        <v>new ItemCreationData(6,"Obsidian","Wooow so great, Obsidian",ItemType.Resource,100,2,-1,-1),</v>
      </c>
      <c r="S12" s="2" t="s">
        <v>4</v>
      </c>
    </row>
    <row r="13" spans="5:19">
      <c r="E13">
        <v>7</v>
      </c>
      <c r="F13" t="s">
        <v>27</v>
      </c>
      <c r="G13" t="str">
        <f t="shared" si="0"/>
        <v>Wooow so great, Metal</v>
      </c>
      <c r="H13" t="s">
        <v>46</v>
      </c>
      <c r="I13">
        <v>100</v>
      </c>
      <c r="J13">
        <v>1</v>
      </c>
      <c r="K13">
        <v>-1</v>
      </c>
      <c r="L13">
        <v>-1</v>
      </c>
      <c r="M13" t="str">
        <f t="shared" si="1"/>
        <v>new ItemCreationData(7,"Metal","Wooow so great, Metal",ItemType.Resource,100,1,-1,-1),</v>
      </c>
      <c r="S13" s="2" t="s">
        <v>5</v>
      </c>
    </row>
    <row r="14" spans="5:19">
      <c r="E14">
        <v>8</v>
      </c>
      <c r="F14" t="s">
        <v>28</v>
      </c>
      <c r="G14" t="str">
        <f t="shared" si="0"/>
        <v>Wooow so great, Metal Ingot</v>
      </c>
      <c r="H14" t="s">
        <v>46</v>
      </c>
      <c r="I14">
        <v>100</v>
      </c>
      <c r="J14">
        <v>2</v>
      </c>
      <c r="K14">
        <v>-1</v>
      </c>
      <c r="L14">
        <v>-1</v>
      </c>
      <c r="M14" t="str">
        <f t="shared" si="1"/>
        <v>new ItemCreationData(8,"Metal Ingot","Wooow so great, Metal Ingot",ItemType.Resource,100,2,-1,-1),</v>
      </c>
      <c r="S14" s="2" t="s">
        <v>6</v>
      </c>
    </row>
    <row r="15" spans="5:19">
      <c r="E15">
        <v>9</v>
      </c>
      <c r="F15" t="s">
        <v>29</v>
      </c>
      <c r="G15" t="str">
        <f t="shared" si="0"/>
        <v>Wooow so great, Cementing Paste</v>
      </c>
      <c r="H15" t="s">
        <v>46</v>
      </c>
      <c r="I15">
        <v>100</v>
      </c>
      <c r="J15" t="s">
        <v>57</v>
      </c>
      <c r="K15">
        <v>-1</v>
      </c>
      <c r="L15">
        <v>-1</v>
      </c>
      <c r="M15" t="str">
        <f t="shared" si="1"/>
        <v>new ItemCreationData(9,"Cementing Paste","Wooow so great, Cementing Paste",ItemType.Resource,100,0.01f,-1,-1),</v>
      </c>
      <c r="S15" s="2" t="s">
        <v>7</v>
      </c>
    </row>
    <row r="16" spans="5:19">
      <c r="E16">
        <v>10</v>
      </c>
      <c r="F16" t="s">
        <v>30</v>
      </c>
      <c r="G16" t="str">
        <f t="shared" si="0"/>
        <v>Wooow so great, Chitin</v>
      </c>
      <c r="H16" t="s">
        <v>46</v>
      </c>
      <c r="I16">
        <v>100</v>
      </c>
      <c r="J16" t="s">
        <v>57</v>
      </c>
      <c r="K16">
        <v>-1</v>
      </c>
      <c r="L16">
        <v>-1</v>
      </c>
      <c r="M16" t="str">
        <f t="shared" si="1"/>
        <v>new ItemCreationData(10,"Chitin","Wooow so great, Chitin",ItemType.Resource,100,0.01f,-1,-1),</v>
      </c>
    </row>
    <row r="17" spans="5:13">
      <c r="E17">
        <v>11</v>
      </c>
      <c r="F17" t="s">
        <v>31</v>
      </c>
      <c r="G17" t="str">
        <f t="shared" si="0"/>
        <v>Wooow so great, Keratin</v>
      </c>
      <c r="H17" t="s">
        <v>46</v>
      </c>
      <c r="I17">
        <v>100</v>
      </c>
      <c r="J17" t="s">
        <v>57</v>
      </c>
      <c r="K17">
        <v>-1</v>
      </c>
      <c r="L17">
        <v>-1</v>
      </c>
      <c r="M17" t="str">
        <f t="shared" si="1"/>
        <v>new ItemCreationData(11,"Keratin","Wooow so great, Keratin",ItemType.Resource,100,0.01f,-1,-1),</v>
      </c>
    </row>
    <row r="18" spans="5:13">
      <c r="E18">
        <v>12</v>
      </c>
      <c r="F18" t="s">
        <v>32</v>
      </c>
      <c r="G18" t="str">
        <f t="shared" si="0"/>
        <v>Wooow so great, Stone Pickaxe</v>
      </c>
      <c r="H18" t="s">
        <v>50</v>
      </c>
      <c r="I18">
        <v>1</v>
      </c>
      <c r="J18">
        <v>1</v>
      </c>
      <c r="K18">
        <v>-1</v>
      </c>
      <c r="L18">
        <v>100</v>
      </c>
      <c r="M18" t="str">
        <f t="shared" si="1"/>
        <v>new ItemCreationData(12,"Stone Pickaxe","Wooow so great, Stone Pickaxe",ItemType.Tool,1,1,-1,100),</v>
      </c>
    </row>
    <row r="19" spans="5:13">
      <c r="E19">
        <v>13</v>
      </c>
      <c r="F19" t="s">
        <v>33</v>
      </c>
      <c r="G19" t="str">
        <f t="shared" si="0"/>
        <v>Wooow so great, Stone Hatchet</v>
      </c>
      <c r="H19" t="s">
        <v>50</v>
      </c>
      <c r="I19">
        <v>1</v>
      </c>
      <c r="J19">
        <v>1</v>
      </c>
      <c r="K19">
        <v>-1</v>
      </c>
      <c r="L19">
        <v>100</v>
      </c>
      <c r="M19" t="str">
        <f t="shared" si="1"/>
        <v>new ItemCreationData(13,"Stone Hatchet","Wooow so great, Stone Hatchet",ItemType.Tool,1,1,-1,100),</v>
      </c>
    </row>
    <row r="20" spans="5:13">
      <c r="E20">
        <v>14</v>
      </c>
      <c r="F20" t="s">
        <v>34</v>
      </c>
      <c r="G20" t="str">
        <f t="shared" si="0"/>
        <v>Wooow so great, Campfire</v>
      </c>
      <c r="H20" t="s">
        <v>55</v>
      </c>
      <c r="I20">
        <v>10</v>
      </c>
      <c r="J20">
        <v>5</v>
      </c>
      <c r="K20">
        <v>-1</v>
      </c>
      <c r="L20">
        <v>-1</v>
      </c>
      <c r="M20" t="str">
        <f t="shared" si="1"/>
        <v>new ItemCreationData(14,"Campfire","Wooow so great, Campfire",ItemType.Structure,10,5,-1,-1),</v>
      </c>
    </row>
    <row r="21" spans="5:13">
      <c r="E21">
        <v>15</v>
      </c>
      <c r="F21" t="s">
        <v>35</v>
      </c>
      <c r="G21" t="str">
        <f t="shared" si="0"/>
        <v>Wooow so great, Small Box</v>
      </c>
      <c r="H21" t="s">
        <v>55</v>
      </c>
      <c r="I21">
        <v>10</v>
      </c>
      <c r="J21">
        <v>5</v>
      </c>
      <c r="K21">
        <v>-1</v>
      </c>
      <c r="L21">
        <v>-1</v>
      </c>
      <c r="M21" t="str">
        <f t="shared" si="1"/>
        <v>new ItemCreationData(15,"Small Box","Wooow so great, Small Box",ItemType.Structure,10,5,-1,-1),</v>
      </c>
    </row>
    <row r="22" spans="5:13">
      <c r="E22">
        <v>16</v>
      </c>
      <c r="F22" t="s">
        <v>36</v>
      </c>
      <c r="G22" t="str">
        <f t="shared" si="0"/>
        <v>Wooow so great, Wooden Storage</v>
      </c>
      <c r="H22" t="s">
        <v>55</v>
      </c>
      <c r="I22">
        <v>10</v>
      </c>
      <c r="J22">
        <v>10</v>
      </c>
      <c r="K22">
        <v>-1</v>
      </c>
      <c r="L22">
        <v>-1</v>
      </c>
      <c r="M22" t="str">
        <f t="shared" si="1"/>
        <v>new ItemCreationData(16,"Wooden Storage","Wooow so great, Wooden Storage",ItemType.Structure,10,10,-1,-1),</v>
      </c>
    </row>
    <row r="23" spans="5:13">
      <c r="E23">
        <v>17</v>
      </c>
      <c r="F23" t="s">
        <v>21</v>
      </c>
      <c r="G23" t="str">
        <f t="shared" si="0"/>
        <v>Wooow so great, Raw Meat</v>
      </c>
      <c r="H23" t="s">
        <v>49</v>
      </c>
      <c r="I23">
        <v>100</v>
      </c>
      <c r="J23" t="s">
        <v>57</v>
      </c>
      <c r="K23">
        <v>120</v>
      </c>
      <c r="L23">
        <v>-1</v>
      </c>
      <c r="M23" t="str">
        <f t="shared" si="1"/>
        <v>new ItemCreationData(17,"Raw Meat","Wooow so great, Raw Meat",ItemType.Consumable,100,0.01f,120,-1),</v>
      </c>
    </row>
    <row r="24" spans="5:13">
      <c r="E24">
        <v>18</v>
      </c>
      <c r="F24" t="s">
        <v>22</v>
      </c>
      <c r="G24" t="str">
        <f t="shared" si="0"/>
        <v>Wooow so great, Cooked Meat</v>
      </c>
      <c r="H24" t="s">
        <v>49</v>
      </c>
      <c r="I24">
        <v>100</v>
      </c>
      <c r="J24" t="s">
        <v>57</v>
      </c>
      <c r="K24">
        <v>240</v>
      </c>
      <c r="L24">
        <v>-1</v>
      </c>
      <c r="M24" t="str">
        <f t="shared" si="1"/>
        <v>new ItemCreationData(18,"Cooked Meat","Wooow so great, Cooked Meat",ItemType.Consumable,100,0.01f,240,-1),</v>
      </c>
    </row>
    <row r="25" spans="5:13">
      <c r="E25">
        <v>19</v>
      </c>
      <c r="F25" t="s">
        <v>23</v>
      </c>
      <c r="G25" t="str">
        <f t="shared" si="0"/>
        <v>Wooow so great, Spoiled Meat</v>
      </c>
      <c r="H25" t="s">
        <v>49</v>
      </c>
      <c r="I25">
        <v>100</v>
      </c>
      <c r="J25" t="s">
        <v>57</v>
      </c>
      <c r="K25">
        <v>120</v>
      </c>
      <c r="L25">
        <v>-1</v>
      </c>
      <c r="M25" t="str">
        <f t="shared" si="1"/>
        <v>new ItemCreationData(19,"Spoiled Meat","Wooow so great, Spoiled Meat",ItemType.Consumable,100,0.01f,120,-1),</v>
      </c>
    </row>
    <row r="26" spans="5:13">
      <c r="E26">
        <v>20</v>
      </c>
      <c r="F26" t="s">
        <v>37</v>
      </c>
      <c r="G26" t="str">
        <f t="shared" si="0"/>
        <v>Wooow so great, Hide</v>
      </c>
      <c r="H26" t="s">
        <v>46</v>
      </c>
      <c r="I26">
        <v>100</v>
      </c>
      <c r="J26" t="s">
        <v>57</v>
      </c>
      <c r="K26">
        <v>-1</v>
      </c>
      <c r="L26">
        <v>-1</v>
      </c>
      <c r="M26" t="str">
        <f t="shared" si="1"/>
        <v>new ItemCreationData(20,"Hide","Wooow so great, Hide",ItemType.Resource,100,0.01f,-1,-1),</v>
      </c>
    </row>
    <row r="27" spans="5:13">
      <c r="E27">
        <v>21</v>
      </c>
      <c r="F27" t="s">
        <v>38</v>
      </c>
      <c r="G27" t="str">
        <f t="shared" si="0"/>
        <v>Wooow so great, Bow</v>
      </c>
      <c r="H27" t="s">
        <v>51</v>
      </c>
      <c r="I27">
        <v>1</v>
      </c>
      <c r="J27">
        <v>5</v>
      </c>
      <c r="K27">
        <v>-1</v>
      </c>
      <c r="L27">
        <v>-1</v>
      </c>
      <c r="M27" t="str">
        <f t="shared" si="1"/>
        <v>new ItemCreationData(21,"Bow","Wooow so great, Bow",ItemType.Weapon,1,5,-1,-1),</v>
      </c>
    </row>
    <row r="28" spans="5:13">
      <c r="E28">
        <v>22</v>
      </c>
      <c r="F28" t="s">
        <v>39</v>
      </c>
      <c r="G28" t="str">
        <f t="shared" si="0"/>
        <v>Wooow so great, Arrow</v>
      </c>
      <c r="H28" t="s">
        <v>53</v>
      </c>
      <c r="I28">
        <v>100</v>
      </c>
      <c r="J28" t="s">
        <v>57</v>
      </c>
      <c r="K28">
        <v>-1</v>
      </c>
      <c r="L28">
        <v>-1</v>
      </c>
      <c r="M28" t="str">
        <f t="shared" si="1"/>
        <v>new ItemCreationData(22,"Arrow","Wooow so great, Arrow",ItemType.Ammo,100,0.01f,-1,-1),</v>
      </c>
    </row>
    <row r="29" spans="5:13">
      <c r="E29">
        <v>23</v>
      </c>
      <c r="F29" t="s">
        <v>40</v>
      </c>
      <c r="G29" t="str">
        <f t="shared" si="0"/>
        <v>Wooow so great, Berries</v>
      </c>
      <c r="H29" t="s">
        <v>49</v>
      </c>
      <c r="I29">
        <v>100</v>
      </c>
      <c r="J29" t="s">
        <v>57</v>
      </c>
      <c r="K29">
        <v>120</v>
      </c>
      <c r="L29">
        <v>-1</v>
      </c>
      <c r="M29" t="str">
        <f t="shared" si="1"/>
        <v>new ItemCreationData(23,"Berries","Wooow so great, Berries",ItemType.Consumable,100,0.01f,120,-1),</v>
      </c>
    </row>
    <row r="30" spans="5:13">
      <c r="E30">
        <v>24</v>
      </c>
      <c r="F30" t="s">
        <v>42</v>
      </c>
      <c r="G30" t="str">
        <f t="shared" si="0"/>
        <v>Wooow so great, Hide Chestpiece</v>
      </c>
      <c r="H30" t="s">
        <v>52</v>
      </c>
      <c r="I30">
        <v>1</v>
      </c>
      <c r="J30">
        <v>1</v>
      </c>
      <c r="K30">
        <v>-1</v>
      </c>
      <c r="L30">
        <v>100</v>
      </c>
      <c r="M30" t="str">
        <f t="shared" si="1"/>
        <v>new ItemCreationData(24,"Hide Chestpiece","Wooow so great, Hide Chestpiece",ItemType.Equipment,1,1,-1,100),</v>
      </c>
    </row>
    <row r="31" spans="5:13">
      <c r="E31">
        <v>25</v>
      </c>
      <c r="F31" t="s">
        <v>41</v>
      </c>
      <c r="G31" t="str">
        <f t="shared" si="0"/>
        <v>Wooow so great, Hide Leggins</v>
      </c>
      <c r="H31" t="s">
        <v>52</v>
      </c>
      <c r="I31">
        <v>1</v>
      </c>
      <c r="J31">
        <v>1</v>
      </c>
      <c r="K31">
        <v>-1</v>
      </c>
      <c r="L31">
        <v>100</v>
      </c>
      <c r="M31" t="str">
        <f t="shared" si="1"/>
        <v>new ItemCreationData(25,"Hide Leggins","Wooow so great, Hide Leggins",ItemType.Equipment,1,1,-1,100),</v>
      </c>
    </row>
    <row r="32" spans="5:13">
      <c r="E32">
        <v>26</v>
      </c>
      <c r="F32" t="s">
        <v>43</v>
      </c>
      <c r="G32" t="str">
        <f t="shared" si="0"/>
        <v>Wooow so great, Hide Gloves</v>
      </c>
      <c r="H32" t="s">
        <v>52</v>
      </c>
      <c r="I32">
        <v>1</v>
      </c>
      <c r="J32">
        <v>1</v>
      </c>
      <c r="K32">
        <v>-1</v>
      </c>
      <c r="L32">
        <v>100</v>
      </c>
      <c r="M32" t="str">
        <f t="shared" si="1"/>
        <v>new ItemCreationData(26,"Hide Gloves","Wooow so great, Hide Gloves",ItemType.Equipment,1,1,-1,100),</v>
      </c>
    </row>
    <row r="33" spans="5:13">
      <c r="E33">
        <v>27</v>
      </c>
      <c r="F33" t="s">
        <v>44</v>
      </c>
      <c r="G33" t="str">
        <f t="shared" si="0"/>
        <v>Wooow so great, Hide Boots</v>
      </c>
      <c r="H33" t="s">
        <v>52</v>
      </c>
      <c r="I33">
        <v>1</v>
      </c>
      <c r="J33">
        <v>1</v>
      </c>
      <c r="K33">
        <v>-1</v>
      </c>
      <c r="L33">
        <v>100</v>
      </c>
      <c r="M33" t="str">
        <f t="shared" si="1"/>
        <v>new ItemCreationData(27,"Hide Boots","Wooow so great, Hide Boots",ItemType.Equipment,1,1,-1,100),</v>
      </c>
    </row>
    <row r="34" spans="5:13">
      <c r="E34">
        <v>28</v>
      </c>
      <c r="F34" t="s">
        <v>45</v>
      </c>
      <c r="G34" t="str">
        <f t="shared" si="0"/>
        <v>Wooow so great, Health Potion</v>
      </c>
      <c r="H34" t="s">
        <v>49</v>
      </c>
      <c r="I34">
        <v>100</v>
      </c>
      <c r="J34" t="s">
        <v>57</v>
      </c>
      <c r="K34">
        <v>480</v>
      </c>
      <c r="L34">
        <v>-1</v>
      </c>
      <c r="M34" t="str">
        <f t="shared" si="1"/>
        <v>new ItemCreationData(28,"Health Potion","Wooow so great, Health Potion",ItemType.Consumable,100,0.01f,480,-1),</v>
      </c>
    </row>
  </sheetData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8A9089D-4521-432C-809F-1199A9722A4F}">
          <x14:formula1>
            <xm:f>Sheet2!$B$3:$B$11</xm:f>
          </x14:formula1>
          <xm:sqref>H6:H34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A7910-CEDB-431E-801D-CB7CA923A290}">
  <dimension ref="B2:B11"/>
  <sheetViews>
    <sheetView workbookViewId="0">
      <selection activeCell="B3" sqref="B3"/>
    </sheetView>
  </sheetViews>
  <sheetFormatPr defaultRowHeight="14.4"/>
  <cols>
    <col min="2" max="2" width="14.5546875" customWidth="1"/>
  </cols>
  <sheetData>
    <row r="2" spans="2:2">
      <c r="B2" t="s">
        <v>47</v>
      </c>
    </row>
    <row r="3" spans="2:2">
      <c r="B3" t="s">
        <v>49</v>
      </c>
    </row>
    <row r="4" spans="2:2">
      <c r="B4" t="s">
        <v>50</v>
      </c>
    </row>
    <row r="5" spans="2:2">
      <c r="B5" t="s">
        <v>46</v>
      </c>
    </row>
    <row r="6" spans="2:2">
      <c r="B6" t="s">
        <v>51</v>
      </c>
    </row>
    <row r="7" spans="2:2">
      <c r="B7" t="s">
        <v>52</v>
      </c>
    </row>
    <row r="8" spans="2:2">
      <c r="B8" t="s">
        <v>53</v>
      </c>
    </row>
    <row r="9" spans="2:2">
      <c r="B9" t="s">
        <v>54</v>
      </c>
    </row>
    <row r="10" spans="2:2">
      <c r="B10" t="s">
        <v>48</v>
      </c>
    </row>
    <row r="11" spans="2:2">
      <c r="B11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Castro</dc:creator>
  <cp:lastModifiedBy>André Castro</cp:lastModifiedBy>
  <dcterms:created xsi:type="dcterms:W3CDTF">2026-03-31T07:03:59Z</dcterms:created>
  <dcterms:modified xsi:type="dcterms:W3CDTF">2026-03-31T14:47:58Z</dcterms:modified>
</cp:coreProperties>
</file>